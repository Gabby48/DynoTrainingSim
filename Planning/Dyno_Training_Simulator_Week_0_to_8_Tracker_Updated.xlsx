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4"/>
    <sheet state="visible" name="Weekly Summary" sheetId="2" r:id="rId5"/>
  </sheets>
  <definedNames/>
  <calcPr/>
  <extLst>
    <ext uri="GoogleSheetsCustomDataVersion2">
      <go:sheetsCustomData xmlns:go="http://customooxmlschemas.google.com/" r:id="rId6" roundtripDataChecksum="272Px0WTK0kbBcYxbQnOO+99p3XKFuVnISEHxwrExlw="/>
    </ext>
  </extLst>
</workbook>
</file>

<file path=xl/sharedStrings.xml><?xml version="1.0" encoding="utf-8"?>
<sst xmlns="http://schemas.openxmlformats.org/spreadsheetml/2006/main" count="249" uniqueCount="146">
  <si>
    <t>Week</t>
  </si>
  <si>
    <t>Area</t>
  </si>
  <si>
    <t>Task</t>
  </si>
  <si>
    <t>Status</t>
  </si>
  <si>
    <t>Notes</t>
  </si>
  <si>
    <t>Dyno Simulator Progress</t>
  </si>
  <si>
    <t>Requirements</t>
  </si>
  <si>
    <t>Review Version 1.0 requirements and confirm core / stretch / out-of-scope boundaries</t>
  </si>
  <si>
    <t>Complete</t>
  </si>
  <si>
    <t>Relies on tbcs</t>
  </si>
  <si>
    <t>Total tasks</t>
  </si>
  <si>
    <t>TBCs</t>
  </si>
  <si>
    <t>Create questions list for Force range/sign, detailed Speed Mode capture behaviour, E-stop reset workflow and WOT profile</t>
  </si>
  <si>
    <t>Confirmed: Force rate = N/s; Speed Mode minimum = 1 km/h with ~10+ km/h preferred practice; Light Drive tolerance = +/-15%; Light Drive/WOT countdown = 5 s; indicators = Healthy / No Alarms / AUX / Dyno; target PC = Windows 10, 16 GB RAM.</t>
  </si>
  <si>
    <t>Architecture</t>
  </si>
  <si>
    <t>Identify major components: Simulation Core, UI, Virtual Driver and 3D Visualisation</t>
  </si>
  <si>
    <t>In Progress</t>
  </si>
  <si>
    <t>Write one clear responsibility for each major component</t>
  </si>
  <si>
    <t>Remaining</t>
  </si>
  <si>
    <t>Data ownership</t>
  </si>
  <si>
    <t>Decide who owns CurrentSpeed, CurrentAcceleration, CurrentForce, Gradient, RigState and CurrentMode</t>
  </si>
  <si>
    <t>Map commands/data flow between UI, simulation, virtual driver and 3D visuals</t>
  </si>
  <si>
    <t>Overall completion</t>
  </si>
  <si>
    <t>UI</t>
  </si>
  <si>
    <t>Create rough main-screen wireframe</t>
  </si>
  <si>
    <t>Just needs dyno and vehicle drawing</t>
  </si>
  <si>
    <t>User flows</t>
  </si>
  <si>
    <t>Map Start -&gt; RLS, Speed, Force, Light Drive, WOT, Abort, Stop and E-stop flows</t>
  </si>
  <si>
    <t>Testing</t>
  </si>
  <si>
    <t>Choose a simple acceptance-test format</t>
  </si>
  <si>
    <t>Confirmed Design Inputs</t>
  </si>
  <si>
    <t>Setup</t>
  </si>
  <si>
    <t>Confirm Unreal version, project name, Git approach and folder structure</t>
  </si>
  <si>
    <t>Force rate</t>
  </si>
  <si>
    <t>N/s</t>
  </si>
  <si>
    <t>Deployment</t>
  </si>
  <si>
    <t>Begin investigating internal approval for packaged Unreal/Windows app</t>
  </si>
  <si>
    <t>Seems no approval would be needed</t>
  </si>
  <si>
    <t>Speed Mode minimum</t>
  </si>
  <si>
    <t>1 km/h</t>
  </si>
  <si>
    <t>Portfolio</t>
  </si>
  <si>
    <t>Decide what non-proprietary development evidence to retain</t>
  </si>
  <si>
    <t>Preferred Speed capture</t>
  </si>
  <si>
    <t>~10+ km/h</t>
  </si>
  <si>
    <t>Backlog</t>
  </si>
  <si>
    <t>Break Week 1 into small actionable tasks</t>
  </si>
  <si>
    <t>Light Drive tolerance</t>
  </si>
  <si>
    <t>+/-15%</t>
  </si>
  <si>
    <t>Foundation</t>
  </si>
  <si>
    <t>Create Unreal Engine 5 project and Git repository</t>
  </si>
  <si>
    <t>Not Started</t>
  </si>
  <si>
    <t>Light Drive countdown</t>
  </si>
  <si>
    <t>5 s</t>
  </si>
  <si>
    <t>Create folder structure for UI, Blueprints, 3D assets, config and notes</t>
  </si>
  <si>
    <t>WOT countdown</t>
  </si>
  <si>
    <t>Build main UMG layout</t>
  </si>
  <si>
    <t>Target OS</t>
  </si>
  <si>
    <t>Windows 10</t>
  </si>
  <si>
    <t>Simulation</t>
  </si>
  <si>
    <t>Define Rig State, Mode, Command and core simulation variables</t>
  </si>
  <si>
    <t>Target RAM</t>
  </si>
  <si>
    <t>16 GB</t>
  </si>
  <si>
    <t>Implement OFF -&gt; Start -&gt; AUX -&gt; Dyno -&gt; RLS, with Healthy / No Alarms status conditions</t>
  </si>
  <si>
    <t>Normal startup: AUX before Dyno. Normal shutdown: Dyno off before AUX. Healthy and No Alarms are normally on unless a relevant condition/fault exists.</t>
  </si>
  <si>
    <t>Status indicators</t>
  </si>
  <si>
    <t>Healthy / No Alarms / AUX / Dyno</t>
  </si>
  <si>
    <t>Add four-square status indicators: Healthy, No Alarms, AUX and Dyno</t>
  </si>
  <si>
    <t>Healthy = overall dyno startable condition. No Alarms = alarm/fault status; some alarms may not stop rig operation.</t>
  </si>
  <si>
    <t>Startup order</t>
  </si>
  <si>
    <t>AUX then Dyno</t>
  </si>
  <si>
    <t>Speed Mode</t>
  </si>
  <si>
    <t>Implement lower speed, upper speed and rate inputs</t>
  </si>
  <si>
    <t>Shutdown order</t>
  </si>
  <si>
    <t>Dyno then AUX</t>
  </si>
  <si>
    <t>Implement latched Raise / Hold / Lower states</t>
  </si>
  <si>
    <t>Implement 1 km/h minimum-speed interlock</t>
  </si>
  <si>
    <t>Preferred operator practice is to capture Speed Mode around 10+ km/h where practical.</t>
  </si>
  <si>
    <t>Capture approximate current speed on mode entry</t>
  </si>
  <si>
    <t>Add LOAD OFF notification at upper limit</t>
  </si>
  <si>
    <t>Visuals</t>
  </si>
  <si>
    <t>Connect speed to provisional rollers/wheels and instrumentation</t>
  </si>
  <si>
    <t>RLS</t>
  </si>
  <si>
    <t>Implement Gradient limits and %/s rate</t>
  </si>
  <si>
    <t>Implement Gradient Raise / Hold / Lower</t>
  </si>
  <si>
    <t>Create predictable coast-down behaviour</t>
  </si>
  <si>
    <t>Establish live Speed, Acceleration, Force, Gradient, Power and Restraint values</t>
  </si>
  <si>
    <t>Keep simulation relationships configurable</t>
  </si>
  <si>
    <t>Light Drive</t>
  </si>
  <si>
    <t>Build acceleration and upper-speed setup</t>
  </si>
  <si>
    <t>Implement Go -&gt; 5-second countdown -&gt; accelerate -&gt; load-off -&gt; coast</t>
  </si>
  <si>
    <t>Add configurable human-like acceleration variation (initially +/-15%)</t>
  </si>
  <si>
    <t>Implement Abort</t>
  </si>
  <si>
    <t>WOT</t>
  </si>
  <si>
    <t>Implement WOT using shared virtual-driver logic</t>
  </si>
  <si>
    <t>Make WOT acceleration profile configurable; confirm representative profile Monday</t>
  </si>
  <si>
    <t>Test Abort during countdown and acceleration</t>
  </si>
  <si>
    <t>Force Mode</t>
  </si>
  <si>
    <t>Confirm Force sign convention and force ranges; Force rate is confirmed as N/s</t>
  </si>
  <si>
    <t>Implement Force limits, rate and Raise / Hold / Lower</t>
  </si>
  <si>
    <t>Allow front/rear force to differ and calculate combined force</t>
  </si>
  <si>
    <t>Make Force affect vehicle loading/resistance visuals</t>
  </si>
  <si>
    <t>Shutdown</t>
  </si>
  <si>
    <t>Implement Stop -&gt; Neutral warning -&gt; coast-down -&gt; OFF</t>
  </si>
  <si>
    <t>E-stop</t>
  </si>
  <si>
    <t>Implement rapid deceleration -&gt; Emergency Stopped</t>
  </si>
  <si>
    <t>3D</t>
  </si>
  <si>
    <t>Replace placeholders with generic vehicle, rollers and restraint/post</t>
  </si>
  <si>
    <t>Camera</t>
  </si>
  <si>
    <t>Implement lightweight fixed three-quarter camera</t>
  </si>
  <si>
    <t>Connect wheel/roller rotation to simulated speed</t>
  </si>
  <si>
    <t>Connect vehicle pitch/rise/loading to acceleration/load</t>
  </si>
  <si>
    <t>Show coast-down visually</t>
  </si>
  <si>
    <t>Instrumentation</t>
  </si>
  <si>
    <t>Build analogue-style dials plus numeric values</t>
  </si>
  <si>
    <t>Performance</t>
  </si>
  <si>
    <t>Keep visual fidelity suitable for basic PCs</t>
  </si>
  <si>
    <t>Run complete operator workflows</t>
  </si>
  <si>
    <t>Test invalid inputs and edge cases</t>
  </si>
  <si>
    <t>Improve active states, labels, units, notifications and validation</t>
  </si>
  <si>
    <t>Refine Healthy / No Alarms / AUX / Dyno status behaviour and edge cases</t>
  </si>
  <si>
    <t>User testing</t>
  </si>
  <si>
    <t>Have a knowledgeable operator/mentor use it independently</t>
  </si>
  <si>
    <t>Record and fix highest-impact issues</t>
  </si>
  <si>
    <t>Release</t>
  </si>
  <si>
    <t>Freeze Version 1.0 features</t>
  </si>
  <si>
    <t>Turn requirements into final verification checklist</t>
  </si>
  <si>
    <t>Fix remaining functional bugs</t>
  </si>
  <si>
    <t>Optimise for target Windows 10 / 16 GB RAM departmental PC</t>
  </si>
  <si>
    <t>Package and test standalone Windows build outside Unreal Editor</t>
  </si>
  <si>
    <t>Continue/confirm internal IT approval route</t>
  </si>
  <si>
    <t>Documentation</t>
  </si>
  <si>
    <t>Document known limitations and remaining TBCs</t>
  </si>
  <si>
    <t>Prepare sanitised portfolio case study if appropriate</t>
  </si>
  <si>
    <t>Stretch</t>
  </si>
  <si>
    <t>Only if core is stable: consider RPM/gear OR second camera</t>
  </si>
  <si>
    <t>Focus</t>
  </si>
  <si>
    <t>Tasks</t>
  </si>
  <si>
    <t>Completed</t>
  </si>
  <si>
    <t>Planning + Architecture</t>
  </si>
  <si>
    <t>Foundation + UI</t>
  </si>
  <si>
    <t>RLS + Gradient</t>
  </si>
  <si>
    <t>Light Drive + WOT</t>
  </si>
  <si>
    <t>Force + Shutdown</t>
  </si>
  <si>
    <t>3D + Instrumentation</t>
  </si>
  <si>
    <t>Workflow + Polish</t>
  </si>
  <si>
    <t>Test + Package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</si>
</sst>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rlito"/>
      <scheme val="minor"/>
    </font>
    <font>
      <b/>
      <sz val="11.0"/>
      <color rgb="FFFFFFFF"/>
      <name val="Carlito"/>
    </font>
    <font/>
    <font>
      <sz val="11.0"/>
      <color theme="1"/>
      <name val="Carlito"/>
    </font>
    <font>
      <b/>
      <sz val="11.0"/>
      <color theme="1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3" fontId="4" numFmtId="0" xfId="0" applyBorder="1" applyFill="1" applyFont="1"/>
    <xf borderId="0" fillId="0" fontId="5" numFmtId="0" xfId="0" applyFont="1"/>
    <xf borderId="0" fillId="0" fontId="3" numFmtId="9" xfId="0" applyFont="1" applyNumberFormat="1"/>
    <xf borderId="2" fillId="2" fontId="1" numFmtId="0" xfId="0" applyBorder="1" applyFill="1" applyFont="1"/>
    <xf borderId="1" fillId="3" fontId="4" numFmtId="0" xfId="0" applyAlignment="1" applyBorder="1" applyFill="1" applyFont="1">
      <alignment shrinkToFit="0" wrapText="1"/>
    </xf>
    <xf borderId="0" fillId="0" fontId="3" numFmtId="0" xfId="0" applyAlignment="1" applyFont="1">
      <alignment shrinkToFit="0" wrapText="1"/>
    </xf>
    <xf borderId="1" fillId="2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Timelin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6" displayName="DynoTimelineTasks" name="DynoTimelineTasks" id="1">
  <tableColumns count="5">
    <tableColumn name="Week" id="1"/>
    <tableColumn name="Area" id="2"/>
    <tableColumn name="Task" id="3"/>
    <tableColumn name="Status" id="4"/>
    <tableColumn name="Notes" id="5"/>
  </tableColumns>
  <tableStyleInfo name="Timel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0"/>
    <col customWidth="1" min="2" max="2" width="18.0"/>
    <col customWidth="1" min="3" max="3" width="48.0"/>
    <col customWidth="1" min="4" max="4" width="16.0"/>
    <col customWidth="1" min="5" max="5" width="32.0"/>
    <col customWidth="1" min="6" max="6" width="8.63"/>
    <col customWidth="1" min="7" max="7" width="24.0"/>
    <col customWidth="1" min="8" max="8" width="30.0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2" t="s">
        <v>5</v>
      </c>
      <c r="H1" s="3"/>
      <c r="I1" s="3"/>
      <c r="J1" s="4"/>
    </row>
    <row r="2" ht="14.25" customHeight="1">
      <c r="A2" s="5">
        <v>0.0</v>
      </c>
      <c r="B2" s="5" t="s">
        <v>6</v>
      </c>
      <c r="C2" s="5" t="s">
        <v>7</v>
      </c>
      <c r="D2" s="6" t="s">
        <v>8</v>
      </c>
      <c r="E2" s="5" t="s">
        <v>9</v>
      </c>
      <c r="G2" s="7" t="s">
        <v>10</v>
      </c>
      <c r="H2" s="8">
        <v>65.0</v>
      </c>
    </row>
    <row r="3" ht="14.25" customHeight="1">
      <c r="A3" s="5">
        <v>0.0</v>
      </c>
      <c r="B3" s="5" t="s">
        <v>11</v>
      </c>
      <c r="C3" s="5" t="s">
        <v>12</v>
      </c>
      <c r="D3" s="6" t="s">
        <v>8</v>
      </c>
      <c r="E3" s="5" t="s">
        <v>13</v>
      </c>
      <c r="G3" s="7" t="s">
        <v>8</v>
      </c>
      <c r="H3" s="8">
        <f>COUNTIF(D2:D66,"Complete")</f>
        <v>13</v>
      </c>
    </row>
    <row r="4" ht="14.25" customHeight="1">
      <c r="A4" s="5">
        <v>0.0</v>
      </c>
      <c r="B4" s="5" t="s">
        <v>14</v>
      </c>
      <c r="C4" s="5" t="s">
        <v>15</v>
      </c>
      <c r="D4" s="5" t="s">
        <v>8</v>
      </c>
      <c r="E4" s="5"/>
      <c r="G4" s="7" t="s">
        <v>16</v>
      </c>
      <c r="H4" s="8">
        <f>COUNTIF(D2:D66,"In Progress")</f>
        <v>0</v>
      </c>
    </row>
    <row r="5" ht="14.25" customHeight="1">
      <c r="A5" s="5">
        <v>0.0</v>
      </c>
      <c r="B5" s="5" t="s">
        <v>14</v>
      </c>
      <c r="C5" s="5" t="s">
        <v>17</v>
      </c>
      <c r="D5" s="5" t="s">
        <v>8</v>
      </c>
      <c r="E5" s="5"/>
      <c r="G5" s="7" t="s">
        <v>18</v>
      </c>
      <c r="H5" s="8">
        <f>COUNTIF(D2:D66,"Not Started")</f>
        <v>52</v>
      </c>
    </row>
    <row r="6" ht="14.25" customHeight="1">
      <c r="A6" s="5">
        <v>0.0</v>
      </c>
      <c r="B6" s="5" t="s">
        <v>19</v>
      </c>
      <c r="C6" s="5" t="s">
        <v>20</v>
      </c>
      <c r="D6" s="5" t="s">
        <v>8</v>
      </c>
      <c r="E6" s="5"/>
    </row>
    <row r="7" ht="14.25" customHeight="1">
      <c r="A7" s="5">
        <v>0.0</v>
      </c>
      <c r="B7" s="5" t="s">
        <v>14</v>
      </c>
      <c r="C7" s="5" t="s">
        <v>21</v>
      </c>
      <c r="D7" s="5" t="s">
        <v>8</v>
      </c>
      <c r="E7" s="5"/>
      <c r="G7" s="7" t="s">
        <v>22</v>
      </c>
      <c r="H7" s="9">
        <f>COUNTIF(D2:D66,"Complete")/COUNTA(C2:C66)</f>
        <v>0.2</v>
      </c>
    </row>
    <row r="8" ht="14.25" customHeight="1">
      <c r="A8" s="5">
        <v>0.0</v>
      </c>
      <c r="B8" s="5" t="s">
        <v>23</v>
      </c>
      <c r="C8" s="5" t="s">
        <v>24</v>
      </c>
      <c r="D8" s="6" t="s">
        <v>8</v>
      </c>
      <c r="E8" s="5" t="s">
        <v>25</v>
      </c>
    </row>
    <row r="9" ht="14.25" customHeight="1">
      <c r="A9" s="5">
        <v>0.0</v>
      </c>
      <c r="B9" s="5" t="s">
        <v>26</v>
      </c>
      <c r="C9" s="5" t="s">
        <v>27</v>
      </c>
      <c r="D9" s="6" t="s">
        <v>8</v>
      </c>
      <c r="E9" s="6"/>
    </row>
    <row r="10" ht="14.25" customHeight="1">
      <c r="A10" s="5">
        <v>0.0</v>
      </c>
      <c r="B10" s="5" t="s">
        <v>28</v>
      </c>
      <c r="C10" s="5" t="s">
        <v>29</v>
      </c>
      <c r="D10" s="6" t="s">
        <v>8</v>
      </c>
      <c r="E10" s="6"/>
      <c r="G10" s="10" t="s">
        <v>30</v>
      </c>
      <c r="H10" s="3"/>
      <c r="I10" s="3"/>
      <c r="J10" s="4"/>
    </row>
    <row r="11" ht="14.25" customHeight="1">
      <c r="A11" s="5">
        <v>0.0</v>
      </c>
      <c r="B11" s="5" t="s">
        <v>31</v>
      </c>
      <c r="C11" s="5" t="s">
        <v>32</v>
      </c>
      <c r="D11" s="6" t="s">
        <v>8</v>
      </c>
      <c r="E11" s="5"/>
      <c r="G11" s="11" t="s">
        <v>33</v>
      </c>
      <c r="H11" s="12" t="s">
        <v>34</v>
      </c>
    </row>
    <row r="12" ht="14.25" customHeight="1">
      <c r="A12" s="5">
        <v>0.0</v>
      </c>
      <c r="B12" s="5" t="s">
        <v>35</v>
      </c>
      <c r="C12" s="5" t="s">
        <v>36</v>
      </c>
      <c r="D12" s="6" t="s">
        <v>8</v>
      </c>
      <c r="E12" s="6" t="s">
        <v>37</v>
      </c>
      <c r="G12" s="11" t="s">
        <v>38</v>
      </c>
      <c r="H12" s="12" t="s">
        <v>39</v>
      </c>
    </row>
    <row r="13" ht="14.25" customHeight="1">
      <c r="A13" s="5">
        <v>0.0</v>
      </c>
      <c r="B13" s="5" t="s">
        <v>40</v>
      </c>
      <c r="C13" s="5" t="s">
        <v>41</v>
      </c>
      <c r="D13" s="5" t="s">
        <v>8</v>
      </c>
      <c r="E13" s="5"/>
      <c r="G13" s="11" t="s">
        <v>42</v>
      </c>
      <c r="H13" s="12" t="s">
        <v>43</v>
      </c>
    </row>
    <row r="14" ht="14.25" customHeight="1">
      <c r="A14" s="5">
        <v>0.0</v>
      </c>
      <c r="B14" s="5" t="s">
        <v>44</v>
      </c>
      <c r="C14" s="5" t="s">
        <v>45</v>
      </c>
      <c r="D14" s="5" t="s">
        <v>8</v>
      </c>
      <c r="E14" s="5"/>
      <c r="G14" s="11" t="s">
        <v>46</v>
      </c>
      <c r="H14" s="12" t="s">
        <v>47</v>
      </c>
    </row>
    <row r="15" ht="14.25" customHeight="1">
      <c r="A15" s="5">
        <v>1.0</v>
      </c>
      <c r="B15" s="5" t="s">
        <v>48</v>
      </c>
      <c r="C15" s="5" t="s">
        <v>49</v>
      </c>
      <c r="D15" s="5" t="s">
        <v>50</v>
      </c>
      <c r="E15" s="5"/>
      <c r="G15" s="11" t="s">
        <v>51</v>
      </c>
      <c r="H15" s="12" t="s">
        <v>52</v>
      </c>
    </row>
    <row r="16" ht="14.25" customHeight="1">
      <c r="A16" s="5">
        <v>1.0</v>
      </c>
      <c r="B16" s="5" t="s">
        <v>48</v>
      </c>
      <c r="C16" s="5" t="s">
        <v>53</v>
      </c>
      <c r="D16" s="5" t="s">
        <v>50</v>
      </c>
      <c r="E16" s="5"/>
      <c r="G16" s="11" t="s">
        <v>54</v>
      </c>
      <c r="H16" s="12" t="s">
        <v>52</v>
      </c>
    </row>
    <row r="17" ht="14.25" customHeight="1">
      <c r="A17" s="5">
        <v>1.0</v>
      </c>
      <c r="B17" s="5" t="s">
        <v>23</v>
      </c>
      <c r="C17" s="5" t="s">
        <v>55</v>
      </c>
      <c r="D17" s="5" t="s">
        <v>50</v>
      </c>
      <c r="E17" s="5"/>
      <c r="G17" s="11" t="s">
        <v>56</v>
      </c>
      <c r="H17" s="12" t="s">
        <v>57</v>
      </c>
    </row>
    <row r="18" ht="14.25" customHeight="1">
      <c r="A18" s="5">
        <v>1.0</v>
      </c>
      <c r="B18" s="5" t="s">
        <v>58</v>
      </c>
      <c r="C18" s="5" t="s">
        <v>59</v>
      </c>
      <c r="D18" s="5" t="s">
        <v>50</v>
      </c>
      <c r="E18" s="5"/>
      <c r="G18" s="11" t="s">
        <v>60</v>
      </c>
      <c r="H18" s="12" t="s">
        <v>61</v>
      </c>
    </row>
    <row r="19" ht="14.25" customHeight="1">
      <c r="A19" s="5">
        <v>1.0</v>
      </c>
      <c r="B19" s="5" t="s">
        <v>58</v>
      </c>
      <c r="C19" s="5" t="s">
        <v>62</v>
      </c>
      <c r="D19" s="5" t="s">
        <v>50</v>
      </c>
      <c r="E19" s="5" t="s">
        <v>63</v>
      </c>
      <c r="G19" s="11" t="s">
        <v>64</v>
      </c>
      <c r="H19" s="12" t="s">
        <v>65</v>
      </c>
    </row>
    <row r="20" ht="14.25" customHeight="1">
      <c r="A20" s="5">
        <v>1.0</v>
      </c>
      <c r="B20" s="5" t="s">
        <v>23</v>
      </c>
      <c r="C20" s="5" t="s">
        <v>66</v>
      </c>
      <c r="D20" s="5" t="s">
        <v>50</v>
      </c>
      <c r="E20" s="5" t="s">
        <v>67</v>
      </c>
      <c r="G20" s="11" t="s">
        <v>68</v>
      </c>
      <c r="H20" s="12" t="s">
        <v>69</v>
      </c>
    </row>
    <row r="21" ht="14.25" customHeight="1">
      <c r="A21" s="5">
        <v>2.0</v>
      </c>
      <c r="B21" s="5" t="s">
        <v>70</v>
      </c>
      <c r="C21" s="5" t="s">
        <v>71</v>
      </c>
      <c r="D21" s="5" t="s">
        <v>50</v>
      </c>
      <c r="E21" s="5"/>
      <c r="G21" s="11" t="s">
        <v>72</v>
      </c>
      <c r="H21" s="12" t="s">
        <v>73</v>
      </c>
    </row>
    <row r="22" ht="14.25" customHeight="1">
      <c r="A22" s="5">
        <v>2.0</v>
      </c>
      <c r="B22" s="5" t="s">
        <v>70</v>
      </c>
      <c r="C22" s="5" t="s">
        <v>74</v>
      </c>
      <c r="D22" s="5" t="s">
        <v>50</v>
      </c>
      <c r="E22" s="5"/>
    </row>
    <row r="23" ht="14.25" customHeight="1">
      <c r="A23" s="5">
        <v>2.0</v>
      </c>
      <c r="B23" s="5" t="s">
        <v>70</v>
      </c>
      <c r="C23" s="5" t="s">
        <v>75</v>
      </c>
      <c r="D23" s="5" t="s">
        <v>50</v>
      </c>
      <c r="E23" s="5" t="s">
        <v>76</v>
      </c>
    </row>
    <row r="24" ht="14.25" customHeight="1">
      <c r="A24" s="5">
        <v>2.0</v>
      </c>
      <c r="B24" s="5" t="s">
        <v>70</v>
      </c>
      <c r="C24" s="5" t="s">
        <v>77</v>
      </c>
      <c r="D24" s="5" t="s">
        <v>50</v>
      </c>
      <c r="E24" s="5"/>
    </row>
    <row r="25" ht="14.25" customHeight="1">
      <c r="A25" s="5">
        <v>2.0</v>
      </c>
      <c r="B25" s="5" t="s">
        <v>70</v>
      </c>
      <c r="C25" s="5" t="s">
        <v>78</v>
      </c>
      <c r="D25" s="5" t="s">
        <v>50</v>
      </c>
      <c r="E25" s="5"/>
    </row>
    <row r="26" ht="14.25" customHeight="1">
      <c r="A26" s="5">
        <v>2.0</v>
      </c>
      <c r="B26" s="5" t="s">
        <v>79</v>
      </c>
      <c r="C26" s="5" t="s">
        <v>80</v>
      </c>
      <c r="D26" s="5" t="s">
        <v>50</v>
      </c>
      <c r="E26" s="5"/>
    </row>
    <row r="27" ht="14.25" customHeight="1">
      <c r="A27" s="5">
        <v>3.0</v>
      </c>
      <c r="B27" s="5" t="s">
        <v>81</v>
      </c>
      <c r="C27" s="5" t="s">
        <v>82</v>
      </c>
      <c r="D27" s="5" t="s">
        <v>50</v>
      </c>
      <c r="E27" s="5"/>
    </row>
    <row r="28" ht="14.25" customHeight="1">
      <c r="A28" s="5">
        <v>3.0</v>
      </c>
      <c r="B28" s="5" t="s">
        <v>81</v>
      </c>
      <c r="C28" s="5" t="s">
        <v>83</v>
      </c>
      <c r="D28" s="5" t="s">
        <v>50</v>
      </c>
      <c r="E28" s="5"/>
    </row>
    <row r="29" ht="14.25" customHeight="1">
      <c r="A29" s="5">
        <v>3.0</v>
      </c>
      <c r="B29" s="5" t="s">
        <v>58</v>
      </c>
      <c r="C29" s="5" t="s">
        <v>84</v>
      </c>
      <c r="D29" s="5" t="s">
        <v>50</v>
      </c>
      <c r="E29" s="5"/>
    </row>
    <row r="30" ht="14.25" customHeight="1">
      <c r="A30" s="5">
        <v>3.0</v>
      </c>
      <c r="B30" s="5" t="s">
        <v>58</v>
      </c>
      <c r="C30" s="5" t="s">
        <v>85</v>
      </c>
      <c r="D30" s="5" t="s">
        <v>50</v>
      </c>
      <c r="E30" s="5"/>
    </row>
    <row r="31" ht="14.25" customHeight="1">
      <c r="A31" s="5">
        <v>3.0</v>
      </c>
      <c r="B31" s="5" t="s">
        <v>58</v>
      </c>
      <c r="C31" s="5" t="s">
        <v>86</v>
      </c>
      <c r="D31" s="5" t="s">
        <v>50</v>
      </c>
      <c r="E31" s="5"/>
    </row>
    <row r="32" ht="14.25" customHeight="1">
      <c r="A32" s="5">
        <v>4.0</v>
      </c>
      <c r="B32" s="5" t="s">
        <v>87</v>
      </c>
      <c r="C32" s="5" t="s">
        <v>88</v>
      </c>
      <c r="D32" s="5" t="s">
        <v>50</v>
      </c>
      <c r="E32" s="5"/>
    </row>
    <row r="33" ht="14.25" customHeight="1">
      <c r="A33" s="5">
        <v>4.0</v>
      </c>
      <c r="B33" s="5" t="s">
        <v>87</v>
      </c>
      <c r="C33" s="5" t="s">
        <v>89</v>
      </c>
      <c r="D33" s="5" t="s">
        <v>50</v>
      </c>
      <c r="E33" s="5"/>
    </row>
    <row r="34" ht="14.25" customHeight="1">
      <c r="A34" s="5">
        <v>4.0</v>
      </c>
      <c r="B34" s="5" t="s">
        <v>87</v>
      </c>
      <c r="C34" s="5" t="s">
        <v>90</v>
      </c>
      <c r="D34" s="5" t="s">
        <v>50</v>
      </c>
      <c r="E34" s="5"/>
    </row>
    <row r="35" ht="14.25" customHeight="1">
      <c r="A35" s="5">
        <v>4.0</v>
      </c>
      <c r="B35" s="5" t="s">
        <v>87</v>
      </c>
      <c r="C35" s="5" t="s">
        <v>91</v>
      </c>
      <c r="D35" s="5" t="s">
        <v>50</v>
      </c>
      <c r="E35" s="5"/>
    </row>
    <row r="36" ht="14.25" customHeight="1">
      <c r="A36" s="5">
        <v>4.0</v>
      </c>
      <c r="B36" s="5" t="s">
        <v>92</v>
      </c>
      <c r="C36" s="5" t="s">
        <v>93</v>
      </c>
      <c r="D36" s="5" t="s">
        <v>50</v>
      </c>
      <c r="E36" s="5"/>
    </row>
    <row r="37" ht="14.25" customHeight="1">
      <c r="A37" s="5">
        <v>4.0</v>
      </c>
      <c r="B37" s="5" t="s">
        <v>92</v>
      </c>
      <c r="C37" s="5" t="s">
        <v>94</v>
      </c>
      <c r="D37" s="5" t="s">
        <v>50</v>
      </c>
      <c r="E37" s="5"/>
    </row>
    <row r="38" ht="14.25" customHeight="1">
      <c r="A38" s="5">
        <v>4.0</v>
      </c>
      <c r="B38" s="5" t="s">
        <v>28</v>
      </c>
      <c r="C38" s="5" t="s">
        <v>95</v>
      </c>
      <c r="D38" s="5" t="s">
        <v>50</v>
      </c>
      <c r="E38" s="5"/>
    </row>
    <row r="39" ht="14.25" customHeight="1">
      <c r="A39" s="5">
        <v>5.0</v>
      </c>
      <c r="B39" s="5" t="s">
        <v>96</v>
      </c>
      <c r="C39" s="5" t="s">
        <v>97</v>
      </c>
      <c r="D39" s="5" t="s">
        <v>50</v>
      </c>
      <c r="E39" s="5"/>
    </row>
    <row r="40" ht="14.25" customHeight="1">
      <c r="A40" s="5">
        <v>5.0</v>
      </c>
      <c r="B40" s="5" t="s">
        <v>96</v>
      </c>
      <c r="C40" s="5" t="s">
        <v>98</v>
      </c>
      <c r="D40" s="5" t="s">
        <v>50</v>
      </c>
      <c r="E40" s="5"/>
    </row>
    <row r="41" ht="14.25" customHeight="1">
      <c r="A41" s="5">
        <v>5.0</v>
      </c>
      <c r="B41" s="5" t="s">
        <v>96</v>
      </c>
      <c r="C41" s="5" t="s">
        <v>99</v>
      </c>
      <c r="D41" s="5" t="s">
        <v>50</v>
      </c>
      <c r="E41" s="5"/>
    </row>
    <row r="42" ht="14.25" customHeight="1">
      <c r="A42" s="5">
        <v>5.0</v>
      </c>
      <c r="B42" s="5" t="s">
        <v>79</v>
      </c>
      <c r="C42" s="5" t="s">
        <v>100</v>
      </c>
      <c r="D42" s="5" t="s">
        <v>50</v>
      </c>
      <c r="E42" s="5"/>
    </row>
    <row r="43" ht="14.25" customHeight="1">
      <c r="A43" s="5">
        <v>5.0</v>
      </c>
      <c r="B43" s="5" t="s">
        <v>101</v>
      </c>
      <c r="C43" s="5" t="s">
        <v>102</v>
      </c>
      <c r="D43" s="5" t="s">
        <v>50</v>
      </c>
      <c r="E43" s="5"/>
    </row>
    <row r="44" ht="14.25" customHeight="1">
      <c r="A44" s="5">
        <v>5.0</v>
      </c>
      <c r="B44" s="5" t="s">
        <v>103</v>
      </c>
      <c r="C44" s="5" t="s">
        <v>104</v>
      </c>
      <c r="D44" s="5" t="s">
        <v>50</v>
      </c>
      <c r="E44" s="5"/>
    </row>
    <row r="45" ht="14.25" customHeight="1">
      <c r="A45" s="5">
        <v>6.0</v>
      </c>
      <c r="B45" s="5" t="s">
        <v>105</v>
      </c>
      <c r="C45" s="5" t="s">
        <v>106</v>
      </c>
      <c r="D45" s="5" t="s">
        <v>50</v>
      </c>
      <c r="E45" s="5"/>
    </row>
    <row r="46" ht="14.25" customHeight="1">
      <c r="A46" s="5">
        <v>6.0</v>
      </c>
      <c r="B46" s="5" t="s">
        <v>107</v>
      </c>
      <c r="C46" s="5" t="s">
        <v>108</v>
      </c>
      <c r="D46" s="5" t="s">
        <v>50</v>
      </c>
      <c r="E46" s="5"/>
    </row>
    <row r="47" ht="14.25" customHeight="1">
      <c r="A47" s="5">
        <v>6.0</v>
      </c>
      <c r="B47" s="5" t="s">
        <v>105</v>
      </c>
      <c r="C47" s="5" t="s">
        <v>109</v>
      </c>
      <c r="D47" s="5" t="s">
        <v>50</v>
      </c>
      <c r="E47" s="5"/>
    </row>
    <row r="48" ht="14.25" customHeight="1">
      <c r="A48" s="5">
        <v>6.0</v>
      </c>
      <c r="B48" s="5" t="s">
        <v>105</v>
      </c>
      <c r="C48" s="5" t="s">
        <v>110</v>
      </c>
      <c r="D48" s="5" t="s">
        <v>50</v>
      </c>
      <c r="E48" s="5"/>
    </row>
    <row r="49" ht="14.25" customHeight="1">
      <c r="A49" s="5">
        <v>6.0</v>
      </c>
      <c r="B49" s="5" t="s">
        <v>105</v>
      </c>
      <c r="C49" s="5" t="s">
        <v>111</v>
      </c>
      <c r="D49" s="5" t="s">
        <v>50</v>
      </c>
      <c r="E49" s="5"/>
    </row>
    <row r="50" ht="14.25" customHeight="1">
      <c r="A50" s="5">
        <v>6.0</v>
      </c>
      <c r="B50" s="5" t="s">
        <v>112</v>
      </c>
      <c r="C50" s="5" t="s">
        <v>113</v>
      </c>
      <c r="D50" s="5" t="s">
        <v>50</v>
      </c>
      <c r="E50" s="5"/>
    </row>
    <row r="51" ht="14.25" customHeight="1">
      <c r="A51" s="5">
        <v>6.0</v>
      </c>
      <c r="B51" s="5" t="s">
        <v>114</v>
      </c>
      <c r="C51" s="5" t="s">
        <v>115</v>
      </c>
      <c r="D51" s="5" t="s">
        <v>50</v>
      </c>
      <c r="E51" s="5"/>
    </row>
    <row r="52" ht="14.25" customHeight="1">
      <c r="A52" s="5">
        <v>7.0</v>
      </c>
      <c r="B52" s="5" t="s">
        <v>28</v>
      </c>
      <c r="C52" s="5" t="s">
        <v>116</v>
      </c>
      <c r="D52" s="5" t="s">
        <v>50</v>
      </c>
      <c r="E52" s="5"/>
    </row>
    <row r="53" ht="14.25" customHeight="1">
      <c r="A53" s="5">
        <v>7.0</v>
      </c>
      <c r="B53" s="5" t="s">
        <v>28</v>
      </c>
      <c r="C53" s="5" t="s">
        <v>117</v>
      </c>
      <c r="D53" s="5" t="s">
        <v>50</v>
      </c>
      <c r="E53" s="5"/>
    </row>
    <row r="54" ht="14.25" customHeight="1">
      <c r="A54" s="5">
        <v>7.0</v>
      </c>
      <c r="B54" s="5" t="s">
        <v>23</v>
      </c>
      <c r="C54" s="5" t="s">
        <v>118</v>
      </c>
      <c r="D54" s="5" t="s">
        <v>50</v>
      </c>
      <c r="E54" s="5"/>
    </row>
    <row r="55" ht="14.25" customHeight="1">
      <c r="A55" s="5">
        <v>7.0</v>
      </c>
      <c r="B55" s="5" t="s">
        <v>3</v>
      </c>
      <c r="C55" s="5" t="s">
        <v>119</v>
      </c>
      <c r="D55" s="5" t="s">
        <v>50</v>
      </c>
      <c r="E55" s="5"/>
    </row>
    <row r="56" ht="14.25" customHeight="1">
      <c r="A56" s="5">
        <v>7.0</v>
      </c>
      <c r="B56" s="5" t="s">
        <v>120</v>
      </c>
      <c r="C56" s="5" t="s">
        <v>121</v>
      </c>
      <c r="D56" s="5" t="s">
        <v>50</v>
      </c>
      <c r="E56" s="5"/>
    </row>
    <row r="57" ht="14.25" customHeight="1">
      <c r="A57" s="5">
        <v>7.0</v>
      </c>
      <c r="B57" s="5" t="s">
        <v>120</v>
      </c>
      <c r="C57" s="5" t="s">
        <v>122</v>
      </c>
      <c r="D57" s="5" t="s">
        <v>50</v>
      </c>
      <c r="E57" s="5"/>
    </row>
    <row r="58" ht="14.25" customHeight="1">
      <c r="A58" s="5">
        <v>8.0</v>
      </c>
      <c r="B58" s="5" t="s">
        <v>123</v>
      </c>
      <c r="C58" s="5" t="s">
        <v>124</v>
      </c>
      <c r="D58" s="5" t="s">
        <v>50</v>
      </c>
      <c r="E58" s="5"/>
    </row>
    <row r="59" ht="14.25" customHeight="1">
      <c r="A59" s="5">
        <v>8.0</v>
      </c>
      <c r="B59" s="5" t="s">
        <v>28</v>
      </c>
      <c r="C59" s="5" t="s">
        <v>125</v>
      </c>
      <c r="D59" s="5" t="s">
        <v>50</v>
      </c>
      <c r="E59" s="5"/>
    </row>
    <row r="60" ht="14.25" customHeight="1">
      <c r="A60" s="5">
        <v>8.0</v>
      </c>
      <c r="B60" s="5" t="s">
        <v>28</v>
      </c>
      <c r="C60" s="5" t="s">
        <v>126</v>
      </c>
      <c r="D60" s="5" t="s">
        <v>50</v>
      </c>
      <c r="E60" s="5"/>
    </row>
    <row r="61" ht="14.25" customHeight="1">
      <c r="A61" s="5">
        <v>8.0</v>
      </c>
      <c r="B61" s="5" t="s">
        <v>114</v>
      </c>
      <c r="C61" s="5" t="s">
        <v>127</v>
      </c>
      <c r="D61" s="5" t="s">
        <v>50</v>
      </c>
      <c r="E61" s="5"/>
    </row>
    <row r="62" ht="14.25" customHeight="1">
      <c r="A62" s="5">
        <v>8.0</v>
      </c>
      <c r="B62" s="5" t="s">
        <v>35</v>
      </c>
      <c r="C62" s="5" t="s">
        <v>128</v>
      </c>
      <c r="D62" s="5" t="s">
        <v>50</v>
      </c>
      <c r="E62" s="5"/>
    </row>
    <row r="63" ht="14.25" customHeight="1">
      <c r="A63" s="5">
        <v>8.0</v>
      </c>
      <c r="B63" s="5" t="s">
        <v>35</v>
      </c>
      <c r="C63" s="5" t="s">
        <v>129</v>
      </c>
      <c r="D63" s="5" t="s">
        <v>50</v>
      </c>
      <c r="E63" s="5"/>
    </row>
    <row r="64" ht="14.25" customHeight="1">
      <c r="A64" s="5">
        <v>8.0</v>
      </c>
      <c r="B64" s="5" t="s">
        <v>130</v>
      </c>
      <c r="C64" s="5" t="s">
        <v>131</v>
      </c>
      <c r="D64" s="5" t="s">
        <v>50</v>
      </c>
      <c r="E64" s="5"/>
    </row>
    <row r="65" ht="14.25" customHeight="1">
      <c r="A65" s="5">
        <v>8.0</v>
      </c>
      <c r="B65" s="5" t="s">
        <v>40</v>
      </c>
      <c r="C65" s="5" t="s">
        <v>132</v>
      </c>
      <c r="D65" s="5" t="s">
        <v>50</v>
      </c>
      <c r="E65" s="5"/>
    </row>
    <row r="66" ht="14.25" customHeight="1">
      <c r="A66" s="5">
        <v>8.0</v>
      </c>
      <c r="B66" s="5" t="s">
        <v>133</v>
      </c>
      <c r="C66" s="5" t="s">
        <v>134</v>
      </c>
      <c r="D66" s="5" t="s">
        <v>50</v>
      </c>
      <c r="E66" s="5"/>
    </row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G1:J1"/>
    <mergeCell ref="G10:J10"/>
  </mergeCells>
  <conditionalFormatting sqref="A2:A66">
    <cfRule type="colorScale" priority="1">
      <colorScale>
        <cfvo type="min"/>
        <cfvo type="percentile" val="50"/>
        <cfvo type="max"/>
        <color rgb="FFEAF2F8"/>
        <color rgb="FFD6EAF8"/>
        <color rgb="FFAED6F1"/>
      </colorScale>
    </cfRule>
  </conditionalFormatting>
  <conditionalFormatting sqref="A2:E66">
    <cfRule type="expression" dxfId="5" priority="2">
      <formula>D2="Complete"</formula>
    </cfRule>
  </conditionalFormatting>
  <conditionalFormatting sqref="A2:E66">
    <cfRule type="expression" dxfId="6" priority="3">
      <formula>D2="In Progress"</formula>
    </cfRule>
  </conditionalFormatting>
  <dataValidations>
    <dataValidation type="list" allowBlank="1" sqref="D2:D66">
      <formula1>"Not Started,In Progress,Complete"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8.0"/>
    <col customWidth="1" min="3" max="4" width="14.0"/>
    <col customWidth="1" min="5" max="26" width="8.63"/>
  </cols>
  <sheetData>
    <row r="1" ht="14.25" customHeight="1">
      <c r="A1" s="13" t="s">
        <v>0</v>
      </c>
      <c r="B1" s="13" t="s">
        <v>135</v>
      </c>
      <c r="C1" s="13" t="s">
        <v>136</v>
      </c>
      <c r="D1" s="13" t="s">
        <v>137</v>
      </c>
    </row>
    <row r="2" ht="14.25" customHeight="1">
      <c r="A2" s="12">
        <v>0.0</v>
      </c>
      <c r="B2" s="12" t="s">
        <v>138</v>
      </c>
      <c r="C2" s="12">
        <f>COUNTIF(Timeline!A2:A66,A2)</f>
        <v>13</v>
      </c>
      <c r="D2" s="12">
        <f>COUNTIFS(Timeline!A2:A66,A2,Timeline!D2:D66,"Complete")</f>
        <v>13</v>
      </c>
    </row>
    <row r="3" ht="14.25" customHeight="1">
      <c r="A3" s="12">
        <v>1.0</v>
      </c>
      <c r="B3" s="12" t="s">
        <v>139</v>
      </c>
      <c r="C3" s="12">
        <f>COUNTIF(Timeline!A2:A66,A3)</f>
        <v>6</v>
      </c>
      <c r="D3" s="12">
        <f>COUNTIFS(Timeline!A3:A67,A3,Timeline!D3:D67,"Complete")</f>
        <v>0</v>
      </c>
    </row>
    <row r="4" ht="14.25" customHeight="1">
      <c r="A4" s="12">
        <v>2.0</v>
      </c>
      <c r="B4" s="12" t="s">
        <v>70</v>
      </c>
      <c r="C4" s="12">
        <f>COUNTIF(Timeline!A2:A66,A4)</f>
        <v>6</v>
      </c>
      <c r="D4" s="12">
        <f>COUNTIFS(Timeline!A4:A68,A4,Timeline!D4:D68,"Complete")</f>
        <v>0</v>
      </c>
    </row>
    <row r="5" ht="14.25" customHeight="1">
      <c r="A5" s="12">
        <v>3.0</v>
      </c>
      <c r="B5" s="12" t="s">
        <v>140</v>
      </c>
      <c r="C5" s="12">
        <f>COUNTIF(Timeline!A2:A66,A5)</f>
        <v>5</v>
      </c>
      <c r="D5" s="12">
        <f>COUNTIFS(Timeline!A5:A69,A5,Timeline!D5:D69,"Complete")</f>
        <v>0</v>
      </c>
    </row>
    <row r="6" ht="14.25" customHeight="1">
      <c r="A6" s="12">
        <v>4.0</v>
      </c>
      <c r="B6" s="12" t="s">
        <v>141</v>
      </c>
      <c r="C6" s="12">
        <f>COUNTIF(Timeline!A2:A66,A6)</f>
        <v>7</v>
      </c>
      <c r="D6" s="12">
        <f>COUNTIFS(Timeline!A6:A70,A6,Timeline!D6:D70,"Complete")</f>
        <v>0</v>
      </c>
    </row>
    <row r="7" ht="14.25" customHeight="1">
      <c r="A7" s="12">
        <v>5.0</v>
      </c>
      <c r="B7" s="12" t="s">
        <v>142</v>
      </c>
      <c r="C7" s="12">
        <f>COUNTIF(Timeline!A2:A66,A7)</f>
        <v>6</v>
      </c>
      <c r="D7" s="12">
        <f>COUNTIFS(Timeline!A7:A71,A7,Timeline!D7:D71,"Complete")</f>
        <v>0</v>
      </c>
    </row>
    <row r="8" ht="14.25" customHeight="1">
      <c r="A8" s="12">
        <v>6.0</v>
      </c>
      <c r="B8" s="12" t="s">
        <v>143</v>
      </c>
      <c r="C8" s="12">
        <f>COUNTIF(Timeline!A2:A66,A8)</f>
        <v>7</v>
      </c>
      <c r="D8" s="12">
        <f>COUNTIFS(Timeline!A8:A72,A8,Timeline!D8:D72,"Complete")</f>
        <v>0</v>
      </c>
    </row>
    <row r="9" ht="14.25" customHeight="1">
      <c r="A9" s="12">
        <v>7.0</v>
      </c>
      <c r="B9" s="12" t="s">
        <v>144</v>
      </c>
      <c r="C9" s="12">
        <f>COUNTIF(Timeline!A2:A66,A9)</f>
        <v>6</v>
      </c>
      <c r="D9" s="12">
        <f>COUNTIFS(Timeline!A9:A73,A9,Timeline!D9:D73,"Complete")</f>
        <v>0</v>
      </c>
    </row>
    <row r="10" ht="14.25" customHeight="1">
      <c r="A10" s="12">
        <v>8.0</v>
      </c>
      <c r="B10" s="12" t="s">
        <v>145</v>
      </c>
      <c r="C10" s="12">
        <f>COUNTIF(Timeline!A2:A66,A10)</f>
        <v>9</v>
      </c>
      <c r="D10" s="12">
        <f>COUNTIFS(Timeline!A10:A74,A10,Timeline!D10:D74,"Complete")</f>
        <v>0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D2:D10">
    <cfRule type="expression" dxfId="7" priority="1">
      <formula>D2=C2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2026-09-28T11:52:22Z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c6754028-6bc7-40e9-a19b-ddb1aeb9ca2a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